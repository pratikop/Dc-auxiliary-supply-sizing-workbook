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6ca8afc3f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3eb5fb41fe94abe"/>
    <x:sheet xmlns:r="http://schemas.openxmlformats.org/officeDocument/2006/relationships" name="Assumptions" sheetId="2" r:id="R5301ea5986f4408a"/>
    <x:sheet xmlns:r="http://schemas.openxmlformats.org/officeDocument/2006/relationships" name="Source_Basis" sheetId="3" r:id="R2489c052cdaf41da"/>
    <x:sheet xmlns:r="http://schemas.openxmlformats.org/officeDocument/2006/relationships" name="Load_Register" sheetId="4" r:id="Rc6cd90a9313f449a"/>
    <x:sheet xmlns:r="http://schemas.openxmlformats.org/officeDocument/2006/relationships" name="Battery_Sizing" sheetId="5" r:id="R631f9ca025fa4949"/>
    <x:sheet xmlns:r="http://schemas.openxmlformats.org/officeDocument/2006/relationships" name="Charger_Sizing" sheetId="6" r:id="Re56ad6574ff34586"/>
    <x:sheet xmlns:r="http://schemas.openxmlformats.org/officeDocument/2006/relationships" name="Cable_VDrop" sheetId="7" r:id="R7a233b4cff454335"/>
    <x:sheet xmlns:r="http://schemas.openxmlformats.org/officeDocument/2006/relationships" name="Protection_AVR_Notes" sheetId="8" r:id="Rf0e3701959cf42f8"/>
    <x:sheet xmlns:r="http://schemas.openxmlformats.org/officeDocument/2006/relationships" name="Traceability" sheetId="9" r:id="R0a9657260281435c"/>
    <x:sheet xmlns:r="http://schemas.openxmlformats.org/officeDocument/2006/relationships" name="Architecture" sheetId="10" r:id="R96a02ff48dac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0"/>
    <x:numFmt numFmtId="203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5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5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2" fontId="0" fillId="5" borderId="6" xfId="0" applyNumberFormat="1" applyFont="1" applyFill="1" applyBorder="1" applyAlignment="1">
      <x:alignment wrapText="1"/>
    </x:xf>
    <x:xf numFmtId="202" fontId="0" fillId="6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201" fontId="0" fillId="5" borderId="9" xfId="0" applyNumberFormat="1" applyFont="1" applyFill="1" applyBorder="1" applyAlignment="1">
      <x:alignment wrapText="1"/>
    </x:xf>
    <x:xf numFmtId="202" fontId="0" fillId="5" borderId="9" xfId="0" applyNumberFormat="1" applyFont="1" applyFill="1" applyBorder="1" applyAlignment="1">
      <x:alignment wrapText="1"/>
    </x:xf>
    <x:xf numFmtId="200" fontId="0" fillId="5" borderId="9" xfId="0" applyNumberFormat="1" applyFont="1" applyFill="1" applyBorder="1" applyAlignment="1">
      <x:alignment wrapText="1"/>
    </x:xf>
    <x:xf numFmtId="202" fontId="0" fillId="6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202" fontId="0" fillId="5" borderId="15" xfId="0" applyNumberFormat="1" applyFont="1" applyFill="1" applyBorder="1" applyAlignment="1">
      <x:alignment wrapText="1"/>
    </x:xf>
    <x:xf numFmtId="202" fontId="0" fillId="6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201" fontId="0" fillId="5" borderId="18" xfId="0" applyNumberFormat="1" applyFont="1" applyFill="1" applyBorder="1" applyAlignment="1">
      <x:alignment wrapText="1"/>
    </x:xf>
    <x:xf numFmtId="202" fontId="0" fillId="5" borderId="18" xfId="0" applyNumberFormat="1" applyFont="1" applyFill="1" applyBorder="1" applyAlignment="1">
      <x:alignment wrapText="1"/>
    </x:xf>
    <x:xf numFmtId="200" fontId="0" fillId="5" borderId="18" xfId="0" applyNumberFormat="1" applyFont="1" applyFill="1" applyBorder="1" applyAlignment="1">
      <x:alignment wrapText="1"/>
    </x:xf>
    <x:xf numFmtId="202" fontId="0" fillId="6" borderId="18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6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0" fontId="0" fillId="6" borderId="6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4946536ac4912" /><Relationship Type="http://schemas.openxmlformats.org/officeDocument/2006/relationships/theme" Target="/xl/theme/theme1.xml" Id="Rb921f7198a9347c7" /><Relationship Type="http://schemas.openxmlformats.org/officeDocument/2006/relationships/sharedStrings" Target="/xl/sharedStrings.xml" Id="R3fa96820a19f4185" /><Relationship Type="http://schemas.openxmlformats.org/officeDocument/2006/relationships/worksheet" Target="/xl/worksheets/sheet1.xml" Id="R23eb5fb41fe94abe" /><Relationship Type="http://schemas.openxmlformats.org/officeDocument/2006/relationships/worksheet" Target="/xl/worksheets/sheet2.xml" Id="R5301ea5986f4408a" /><Relationship Type="http://schemas.openxmlformats.org/officeDocument/2006/relationships/worksheet" Target="/xl/worksheets/sheet3.xml" Id="R2489c052cdaf41da" /><Relationship Type="http://schemas.openxmlformats.org/officeDocument/2006/relationships/worksheet" Target="/xl/worksheets/sheet4.xml" Id="Rc6cd90a9313f449a" /><Relationship Type="http://schemas.openxmlformats.org/officeDocument/2006/relationships/worksheet" Target="/xl/worksheets/sheet5.xml" Id="R631f9ca025fa4949" /><Relationship Type="http://schemas.openxmlformats.org/officeDocument/2006/relationships/worksheet" Target="/xl/worksheets/sheet6.xml" Id="Re56ad6574ff34586" /><Relationship Type="http://schemas.openxmlformats.org/officeDocument/2006/relationships/worksheet" Target="/xl/worksheets/sheet7.xml" Id="R7a233b4cff454335" /><Relationship Type="http://schemas.openxmlformats.org/officeDocument/2006/relationships/worksheet" Target="/xl/worksheets/sheet8.xml" Id="Rf0e3701959cf42f8" /><Relationship Type="http://schemas.openxmlformats.org/officeDocument/2006/relationships/worksheet" Target="/xl/worksheets/sheet9.xml" Id="R0a9657260281435c" /><Relationship Type="http://schemas.openxmlformats.org/officeDocument/2006/relationships/worksheet" Target="/xl/worksheets/sheet10.xml" Id="R96a02ff48dac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 ht="19.200000762939453" hidden="0" customHeight="1">
      <x:c r="A1" s="5" t="str">
        <x:v>DC Auxiliary Supply Sizing Workbook</x:v>
      </x:c>
    </x:row>
    <x:row r="2" ht="30" customHeight="1">
      <x:c r="A2" s="12" t="str">
        <x:v>Concept-level Excel workbook for stationary DC auxiliary battery, charger, and cable voltage-drop sizing.</x:v>
      </x:c>
    </x:row>
    <x:row r="4">
      <x:c r="A4" s="18" t="str">
        <x:v>Workbook purpose</x:v>
      </x:c>
      <x:c r="B4" s="22" t="str">
        <x:v>Demonstrates a structured, source-traceable sizing workflow for DC auxiliary/emergency power supply concepts.</x:v>
      </x:c>
    </x:row>
    <x:row r="5">
      <x:c r="A5" s="18" t="str">
        <x:v>How to use</x:v>
      </x:c>
      <x:c r="B5" s="22" t="str">
        <x:v>Edit only yellow cells. Green cells are calculated outputs. Blue rows are section headers. Replace example values with project/vendor data for real applications.</x:v>
      </x:c>
    </x:row>
    <x:row r="6">
      <x:c r="A6" s="18" t="str">
        <x:v>What is included</x:v>
      </x:c>
      <x:c r="B6" s="22" t="str">
        <x:v>Load register, battery Ah sizing, charger sizing, cable voltage-drop check, protection/AVR notes, requirement traceability, architecture, and source-basis sheet.</x:v>
      </x:c>
    </x:row>
    <x:row r="7">
      <x:c r="A7" s="18" t="str">
        <x:v>Important limitation</x:v>
      </x:c>
      <x:c r="B7" s="22" t="str">
        <x:v>This workbook is for educational / concept-level engineering demonstration. It is not a certified design and does not replace project specifications, manufacturer tools, or applicable standards.</x:v>
      </x:c>
    </x:row>
    <x:row r="8">
      <x:c r="A8" s="18" t="str">
        <x:v>Editable cells</x:v>
      </x:c>
      <x:c r="B8" s="22" t="str">
        <x:v>Yellow background = user input / project data.</x:v>
      </x:c>
    </x:row>
    <x:row r="9">
      <x:c r="A9" s="18" t="str">
        <x:v>Formula cells</x:v>
      </x:c>
      <x:c r="B9" s="22" t="str">
        <x:v>Green background = calculated result; do not overwrite unless intentionally changing the model.</x:v>
      </x:c>
    </x:row>
    <x:row r="10">
      <x:c r="A10" s="18" t="str">
        <x:v>Recommended GitHub use</x:v>
      </x:c>
      <x:c r="B10" s="22" t="str">
        <x:v>Upload this .xlsx with a README.md explaining assumptions, formulas, source basis, and limitations.</x:v>
      </x:c>
    </x:row>
    <x:row r="11">
      <x:c r="A11" s="22"/>
      <x:c r="B11" s="22"/>
    </x:row>
    <x:row r="12">
      <x:c r="A12" s="30" t="str">
        <x:v>Color Legend</x:v>
      </x:c>
      <x:c r="B12" s="22"/>
    </x:row>
    <x:row r="13">
      <x:c r="A13" s="31" t="str">
        <x:v>Yellow</x:v>
      </x:c>
      <x:c r="B13" s="22" t="str">
        <x:v>Editable input cells</x:v>
      </x:c>
    </x:row>
    <x:row r="14">
      <x:c r="A14" s="32" t="str">
        <x:v>Green</x:v>
      </x:c>
      <x:c r="B14" s="22" t="str">
        <x:v>Formula / calculated output cells</x:v>
      </x:c>
    </x:row>
    <x:row r="15">
      <x:c r="A15" s="33" t="str">
        <x:v>Blue</x:v>
      </x:c>
      <x:c r="B15" s="22" t="str">
        <x:v>Section headers</x:v>
      </x:c>
    </x:row>
    <x:row r="16">
      <x:c r="A16" s="34" t="str">
        <x:v>Grey</x:v>
      </x:c>
      <x:c r="B16" s="22" t="str">
        <x:v>Reference / instruction cells</x:v>
      </x:c>
    </x:row>
  </x:sheetData>
  <x:mergeCells>
    <x:mergeCell ref="A1:F1"/>
    <x:mergeCell ref="A2:F2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20" hidden="0" customWidth="1"/>
    <x:col min="5" max="5" width="60" hidden="0" customWidth="1"/>
    <x:col min="6" max="6" width="14" hidden="0" customWidth="1"/>
  </x:cols>
  <x:sheetData>
    <x:row r="1" ht="19.200000762939453" hidden="0" customHeight="1">
      <x:c r="A1" s="5" t="str">
        <x:v>Design Assumptions</x:v>
      </x:c>
    </x:row>
    <x:row r="2" ht="30" customHeight="1">
      <x:c r="A2" s="12" t="str">
        <x:v>Yellow cells are editable inputs. These assumptions drive battery, charger, and cable calculations.</x:v>
      </x:c>
    </x:row>
    <x:row r="4">
      <x:c r="A4" s="54" t="str">
        <x:v>Parameter</x:v>
      </x:c>
      <x:c r="B4" s="55" t="str">
        <x:v>Editable Value</x:v>
      </x:c>
      <x:c r="C4" s="55" t="str">
        <x:v>Unit</x:v>
      </x:c>
      <x:c r="D4" s="55" t="str">
        <x:v>Used in</x:v>
      </x:c>
      <x:c r="E4" s="55" t="str">
        <x:v>Formula / note</x:v>
      </x:c>
      <x:c r="F4" s="56" t="str">
        <x:v>Input type</x:v>
      </x:c>
    </x:row>
    <x:row r="5">
      <x:c r="A5" s="57" t="str">
        <x:v>Nominal DC system voltage</x:v>
      </x:c>
      <x:c r="B5" s="58" t="n">
        <x:v>110</x:v>
      </x:c>
      <x:c r="C5" s="59" t="str">
        <x:v>V DC</x:v>
      </x:c>
      <x:c r="D5" s="59" t="str">
        <x:v>Battery, charger, cable</x:v>
      </x:c>
      <x:c r="E5" s="59" t="str">
        <x:v>Common example value; replace with project voltage.</x:v>
      </x:c>
      <x:c r="F5" s="60" t="str">
        <x:v>Editable</x:v>
      </x:c>
    </x:row>
    <x:row r="6">
      <x:c r="A6" s="57" t="str">
        <x:v>Required autonomy / backup duration</x:v>
      </x:c>
      <x:c r="B6" s="58" t="n">
        <x:v>8</x:v>
      </x:c>
      <x:c r="C6" s="59" t="str">
        <x:v>h</x:v>
      </x:c>
      <x:c r="D6" s="59" t="str">
        <x:v>Battery sizing</x:v>
      </x:c>
      <x:c r="E6" s="59" t="str">
        <x:v>Total standby duration for critical DC loads.</x:v>
      </x:c>
      <x:c r="F6" s="60" t="str">
        <x:v>Editable</x:v>
      </x:c>
    </x:row>
    <x:row r="7">
      <x:c r="A7" s="57" t="str">
        <x:v>Design margin</x:v>
      </x:c>
      <x:c r="B7" s="61" t="n">
        <x:v>0.3</x:v>
      </x:c>
      <x:c r="C7" s="59" t="str">
        <x:v>pu</x:v>
      </x:c>
      <x:c r="D7" s="59" t="str">
        <x:v>Battery sizing</x:v>
      </x:c>
      <x:c r="E7" s="59" t="str">
        <x:v>Battery Ah is multiplied by (1 + margin).</x:v>
      </x:c>
      <x:c r="F7" s="60" t="str">
        <x:v>Editable</x:v>
      </x:c>
    </x:row>
    <x:row r="8">
      <x:c r="A8" s="57" t="str">
        <x:v>Battery efficiency factor</x:v>
      </x:c>
      <x:c r="B8" s="61" t="n">
        <x:v>0.9</x:v>
      </x:c>
      <x:c r="C8" s="59" t="str">
        <x:v>pu</x:v>
      </x:c>
      <x:c r="D8" s="59" t="str">
        <x:v>Battery sizing</x:v>
      </x:c>
      <x:c r="E8" s="59" t="str">
        <x:v>Accounts for practical losses and ageing allowance at concept level.</x:v>
      </x:c>
      <x:c r="F8" s="60" t="str">
        <x:v>Editable</x:v>
      </x:c>
    </x:row>
    <x:row r="9">
      <x:c r="A9" s="57" t="str">
        <x:v>Maximum usable depth of discharge</x:v>
      </x:c>
      <x:c r="B9" s="61" t="n">
        <x:v>0.8</x:v>
      </x:c>
      <x:c r="C9" s="59" t="str">
        <x:v>pu</x:v>
      </x:c>
      <x:c r="D9" s="59" t="str">
        <x:v>Battery sizing</x:v>
      </x:c>
      <x:c r="E9" s="59" t="str">
        <x:v>Limits usable capacity to avoid full discharge.</x:v>
      </x:c>
      <x:c r="F9" s="60" t="str">
        <x:v>Editable</x:v>
      </x:c>
    </x:row>
    <x:row r="10">
      <x:c r="A10" s="57" t="str">
        <x:v>Target recharge time</x:v>
      </x:c>
      <x:c r="B10" s="61" t="n">
        <x:v>10</x:v>
      </x:c>
      <x:c r="C10" s="59" t="str">
        <x:v>h</x:v>
      </x:c>
      <x:c r="D10" s="59" t="str">
        <x:v>Charger sizing</x:v>
      </x:c>
      <x:c r="E10" s="59" t="str">
        <x:v>Time to recharge used battery capacity after outage.</x:v>
      </x:c>
      <x:c r="F10" s="60" t="str">
        <x:v>Editable</x:v>
      </x:c>
    </x:row>
    <x:row r="11">
      <x:c r="A11" s="57" t="str">
        <x:v>Charger design margin</x:v>
      </x:c>
      <x:c r="B11" s="61" t="n">
        <x:v>0.2</x:v>
      </x:c>
      <x:c r="C11" s="59" t="str">
        <x:v>pu</x:v>
      </x:c>
      <x:c r="D11" s="59" t="str">
        <x:v>Charger sizing</x:v>
      </x:c>
      <x:c r="E11" s="59" t="str">
        <x:v>Adds margin on recharge current.</x:v>
      </x:c>
      <x:c r="F11" s="60" t="str">
        <x:v>Editable</x:v>
      </x:c>
    </x:row>
    <x:row r="12">
      <x:c r="A12" s="57" t="str">
        <x:v>Allowable DC voltage drop</x:v>
      </x:c>
      <x:c r="B12" s="58" t="n">
        <x:v>0.03</x:v>
      </x:c>
      <x:c r="C12" s="59" t="str">
        <x:v>pu</x:v>
      </x:c>
      <x:c r="D12" s="59" t="str">
        <x:v>Cable check</x:v>
      </x:c>
      <x:c r="E12" s="59" t="str">
        <x:v>Typical project-specific limit; replace if specification differs.</x:v>
      </x:c>
      <x:c r="F12" s="60" t="str">
        <x:v>Editable</x:v>
      </x:c>
    </x:row>
    <x:row r="13">
      <x:c r="A13" s="62" t="str">
        <x:v>Copper resistivity constant</x:v>
      </x:c>
      <x:c r="B13" s="63" t="n">
        <x:v>0.0175</x:v>
      </x:c>
      <x:c r="C13" s="64" t="str">
        <x:v>ohm mm²/m</x:v>
      </x:c>
      <x:c r="D13" s="64" t="str">
        <x:v>Cable check</x:v>
      </x:c>
      <x:c r="E13" s="64" t="str">
        <x:v>Approximate copper conductor resistivity at 20°C for concept calculations.</x:v>
      </x:c>
      <x:c r="F13" s="65" t="str">
        <x:v>Editable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0" hidden="0" customWidth="1"/>
    <x:col min="5" max="5" width="62" hidden="0" customWidth="1"/>
    <x:col min="6" max="6" width="20" hidden="0" customWidth="1"/>
    <x:col min="7" max="7" width="42" hidden="0" customWidth="1"/>
  </x:cols>
  <x:sheetData>
    <x:row r="1" ht="19.200000762939453" hidden="0" customHeight="1">
      <x:c r="A1" s="5" t="str">
        <x:v>Source Basis and Replaceable Data</x:v>
      </x:c>
    </x:row>
    <x:row r="2" ht="30" customHeight="1">
      <x:c r="A2" s="12" t="str">
        <x:v>This sheet separates public reference basis from editable example inputs. Replace example inputs with project/vendor data for real work.</x:v>
      </x:c>
    </x:row>
    <x:row r="4">
      <x:c r="A4" s="54" t="str">
        <x:v>Topic</x:v>
      </x:c>
      <x:c r="B4" s="55" t="str">
        <x:v>Example value / concept</x:v>
      </x:c>
      <x:c r="C4" s="55" t="str">
        <x:v>How used</x:v>
      </x:c>
      <x:c r="D4" s="55" t="str">
        <x:v>Replace with</x:v>
      </x:c>
      <x:c r="E4" s="55" t="str">
        <x:v>Source / URL</x:v>
      </x:c>
      <x:c r="F4" s="55" t="str">
        <x:v>Status</x:v>
      </x:c>
      <x:c r="G4" s="56" t="str">
        <x:v>Notes</x:v>
      </x:c>
    </x:row>
    <x:row r="5">
      <x:c r="A5" s="57" t="str">
        <x:v>DC system voltage</x:v>
      </x:c>
      <x:c r="B5" s="59" t="str">
        <x:v>110 V DC</x:v>
      </x:c>
      <x:c r="C5" s="59" t="str">
        <x:v>Assumption input</x:v>
      </x:c>
      <x:c r="D5" s="59" t="str">
        <x:v>Project DC system voltage</x:v>
      </x:c>
      <x:c r="E5" s="59" t="str">
        <x:v>Project specification or utility standard; example references can include public substation DC auxiliary specifications</x:v>
      </x:c>
      <x:c r="F5" s="59" t="str">
        <x:v>Example only</x:v>
      </x:c>
      <x:c r="G5" s="60" t="str">
        <x:v>Do not imply site-specific design.</x:v>
      </x:c>
    </x:row>
    <x:row r="6">
      <x:c r="A6" s="57" t="str">
        <x:v>Autonomy duration</x:v>
      </x:c>
      <x:c r="B6" s="59" t="str">
        <x:v>8 h</x:v>
      </x:c>
      <x:c r="C6" s="59" t="str">
        <x:v>Battery sizing input</x:v>
      </x:c>
      <x:c r="D6" s="59" t="str">
        <x:v>Project backup duration requirement</x:v>
      </x:c>
      <x:c r="E6" s="59" t="str">
        <x:v>Project specification / owner requirement</x:v>
      </x:c>
      <x:c r="F6" s="59" t="str">
        <x:v>Example only</x:v>
      </x:c>
      <x:c r="G6" s="60" t="str">
        <x:v>Some projects may require different standby durations.</x:v>
      </x:c>
    </x:row>
    <x:row r="7">
      <x:c r="A7" s="57" t="str">
        <x:v>Protection relay load</x:v>
      </x:c>
      <x:c r="B7" s="59" t="str">
        <x:v>≤25 W class example</x:v>
      </x:c>
      <x:c r="C7" s="59" t="str">
        <x:v>Load register example</x:v>
      </x:c>
      <x:c r="D7" s="59" t="str">
        <x:v>Exact relay datasheet power consumption</x:v>
      </x:c>
      <x:c r="E7" s="59" t="str">
        <x:v>Vendor datasheet, e.g. SEL relay documentation: https://selinc.com/products/751/</x:v>
      </x:c>
      <x:c r="F7" s="59" t="str">
        <x:v>Reference-driven example</x:v>
      </x:c>
      <x:c r="G7" s="60" t="str">
        <x:v>Always use exact model and supply voltage.</x:v>
      </x:c>
    </x:row>
    <x:row r="8">
      <x:c r="A8" s="57" t="str">
        <x:v>Battery cell count</x:v>
      </x:c>
      <x:c r="B8" s="59" t="str">
        <x:v>Based on selected technology and end voltage</x:v>
      </x:c>
      <x:c r="C8" s="59" t="str">
        <x:v>Battery selection note</x:v>
      </x:c>
      <x:c r="D8" s="59" t="str">
        <x:v>Manufacturer battery selection output</x:v>
      </x:c>
      <x:c r="E8" s="59" t="str">
        <x:v>Battery manufacturer sizing software/datasheet</x:v>
      </x:c>
      <x:c r="F8" s="59" t="str">
        <x:v>Concept only</x:v>
      </x:c>
      <x:c r="G8" s="60" t="str">
        <x:v>Final selection needs battery discharge curves.</x:v>
      </x:c>
    </x:row>
    <x:row r="9">
      <x:c r="A9" s="57" t="str">
        <x:v>Cable resistance</x:v>
      </x:c>
      <x:c r="B9" s="59" t="str">
        <x:v>2 × L × ρ / A</x:v>
      </x:c>
      <x:c r="C9" s="59" t="str">
        <x:v>Cable voltage-drop calculation</x:v>
      </x:c>
      <x:c r="D9" s="59" t="str">
        <x:v>Actual cable data and temperature correction</x:v>
      </x:c>
      <x:c r="E9" s="59" t="str">
        <x:v>IEC/project cable tables or manufacturer datasheet</x:v>
      </x:c>
      <x:c r="F9" s="59" t="str">
        <x:v>Formula basis</x:v>
      </x:c>
      <x:c r="G9" s="60" t="str">
        <x:v>Temperature and installation factors may apply.</x:v>
      </x:c>
    </x:row>
    <x:row r="10">
      <x:c r="A10" s="62" t="str">
        <x:v>Standards method</x:v>
      </x:c>
      <x:c r="B10" s="64" t="str">
        <x:v>IEEE 485-style load profile method</x:v>
      </x:c>
      <x:c r="C10" s="64" t="str">
        <x:v>Sizing workflow inspiration</x:v>
      </x:c>
      <x:c r="D10" s="64" t="str">
        <x:v>Applicable project standard</x:v>
      </x:c>
      <x:c r="E10" s="64" t="str">
        <x:v>IEEE 485 page: https://standards.ieee.org/ieee/485/6726/</x:v>
      </x:c>
      <x:c r="F10" s="64" t="str">
        <x:v>Reference basis</x:v>
      </x:c>
      <x:c r="G10" s="65" t="str">
        <x:v>Do not reproduce standard content; use licensed standard for design.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4" hidden="0" customWidth="1"/>
    <x:col min="4" max="4" width="10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  <x:col min="9" max="9" width="3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2" hidden="0" customWidth="1"/>
  </x:cols>
  <x:sheetData>
    <x:row r="1" ht="19.200000762939453" hidden="0" customHeight="1">
      <x:c r="A1" s="5" t="str">
        <x:v>DC Load Register</x:v>
      </x:c>
    </x:row>
    <x:row r="2" ht="30" customHeight="1">
      <x:c r="A2" s="12" t="str">
        <x:v>Enter or replace yellow load data. Green columns calculate total load, equivalent energy, and equivalent Ah contribution.</x:v>
      </x:c>
    </x:row>
    <x:row r="4">
      <x:c r="A4" s="54" t="str">
        <x:v>Load ID</x:v>
      </x:c>
      <x:c r="B4" s="55" t="str">
        <x:v>Load description</x:v>
      </x:c>
      <x:c r="C4" s="55" t="str">
        <x:v>Category</x:v>
      </x:c>
      <x:c r="D4" s="55" t="str">
        <x:v>Quantity</x:v>
      </x:c>
      <x:c r="E4" s="55" t="str">
        <x:v>Unit power (W)</x:v>
      </x:c>
      <x:c r="F4" s="55" t="str">
        <x:v>Duty type</x:v>
      </x:c>
      <x:c r="G4" s="55" t="str">
        <x:v>Duration during autonomy (min)</x:v>
      </x:c>
      <x:c r="H4" s="55" t="str">
        <x:v>Simultaneity factor</x:v>
      </x:c>
      <x:c r="I4" s="55" t="str">
        <x:v>Source / basis</x:v>
      </x:c>
      <x:c r="J4" s="55" t="str">
        <x:v>Total connected W</x:v>
      </x:c>
      <x:c r="K4" s="55" t="str">
        <x:v>Continuous W</x:v>
      </x:c>
      <x:c r="L4" s="55" t="str">
        <x:v>Intermittent Wh</x:v>
      </x:c>
      <x:c r="M4" s="55" t="str">
        <x:v>Equivalent Ah</x:v>
      </x:c>
      <x:c r="N4" s="56" t="str">
        <x:v>Notes</x:v>
      </x:c>
    </x:row>
    <x:row r="5">
      <x:c r="A5" s="84" t="str">
        <x:v>L-001</x:v>
      </x:c>
      <x:c r="B5" s="58" t="str">
        <x:v>Protection relay panel</x:v>
      </x:c>
      <x:c r="C5" s="58" t="str">
        <x:v>Protection / control</x:v>
      </x:c>
      <x:c r="D5" s="58" t="n">
        <x:v>2</x:v>
      </x:c>
      <x:c r="E5" s="85" t="n">
        <x:v>25</x:v>
      </x:c>
      <x:c r="F5" s="58" t="str">
        <x:v>Continuous</x:v>
      </x:c>
      <x:c r="G5" s="86" t="n">
        <x:v>480</x:v>
      </x:c>
      <x:c r="H5" s="61" t="n">
        <x:v>1</x:v>
      </x:c>
      <x:c r="I5" s="58" t="str">
        <x:v>Example vendor datasheet class</x:v>
      </x:c>
      <x:c r="J5" s="87" t="n">
        <x:f>D5*E5</x:f>
        <x:v>50</x:v>
      </x:c>
      <x:c r="K5" s="87" t="n">
        <x:f>IF(F5="Continuous",J5*H5,0)</x:f>
        <x:v>50</x:v>
      </x:c>
      <x:c r="L5" s="87" t="n">
        <x:f>IF(F5="Intermittent",J5*H5*G5/60,0)</x:f>
        <x:v>0</x:v>
      </x:c>
      <x:c r="M5" s="87" t="n">
        <x:f>(K5*Assumptions!$B$6+L5)/Assumptions!$B$5</x:f>
        <x:v>3.6363636363636362</x:v>
      </x:c>
      <x:c r="N5" s="88" t="str">
        <x:v>Use exact relay datasheet.</x:v>
      </x:c>
    </x:row>
    <x:row r="6">
      <x:c r="A6" s="84" t="str">
        <x:v>L-002</x:v>
      </x:c>
      <x:c r="B6" s="58" t="str">
        <x:v>SCADA / RTU / communication device</x:v>
      </x:c>
      <x:c r="C6" s="58" t="str">
        <x:v>SCADA / RTU</x:v>
      </x:c>
      <x:c r="D6" s="58" t="n">
        <x:v>1</x:v>
      </x:c>
      <x:c r="E6" s="85" t="n">
        <x:v>40</x:v>
      </x:c>
      <x:c r="F6" s="58" t="str">
        <x:v>Continuous</x:v>
      </x:c>
      <x:c r="G6" s="86" t="n">
        <x:v>480</x:v>
      </x:c>
      <x:c r="H6" s="61" t="n">
        <x:v>1</x:v>
      </x:c>
      <x:c r="I6" s="58" t="str">
        <x:v>Replace with vendor datasheet</x:v>
      </x:c>
      <x:c r="J6" s="87" t="n">
        <x:f>D6*E6</x:f>
        <x:v>40</x:v>
      </x:c>
      <x:c r="K6" s="87" t="n">
        <x:f>IF(F6="Continuous",J6*H6,0)</x:f>
        <x:v>40</x:v>
      </x:c>
      <x:c r="L6" s="87" t="n">
        <x:f>IF(F6="Intermittent",J6*H6*G6/60,0)</x:f>
        <x:v>0</x:v>
      </x:c>
      <x:c r="M6" s="87" t="n">
        <x:f>(K6*Assumptions!$B$6+L6)/Assumptions!$B$5</x:f>
        <x:v>2.909090909090909</x:v>
      </x:c>
      <x:c r="N6" s="88" t="str">
        <x:v>Continuous monitoring/control load.</x:v>
      </x:c>
    </x:row>
    <x:row r="7">
      <x:c r="A7" s="84" t="str">
        <x:v>L-003</x:v>
      </x:c>
      <x:c r="B7" s="58" t="str">
        <x:v>Breaker trip coil</x:v>
      </x:c>
      <x:c r="C7" s="58" t="str">
        <x:v>Trip circuit</x:v>
      </x:c>
      <x:c r="D7" s="58" t="n">
        <x:v>2</x:v>
      </x:c>
      <x:c r="E7" s="85" t="n">
        <x:v>250</x:v>
      </x:c>
      <x:c r="F7" s="58" t="str">
        <x:v>Intermittent</x:v>
      </x:c>
      <x:c r="G7" s="86" t="n">
        <x:v>0.25</x:v>
      </x:c>
      <x:c r="H7" s="61" t="n">
        <x:v>1</x:v>
      </x:c>
      <x:c r="I7" s="58" t="str">
        <x:v>Replace with breaker coil datasheet</x:v>
      </x:c>
      <x:c r="J7" s="87" t="n">
        <x:f>D7*E7</x:f>
        <x:v>500</x:v>
      </x:c>
      <x:c r="K7" s="87" t="n">
        <x:f>IF(F7="Continuous",J7*H7,0)</x:f>
        <x:v>0</x:v>
      </x:c>
      <x:c r="L7" s="87" t="n">
        <x:f>IF(F7="Intermittent",J7*H7*G7/60,0)</x:f>
        <x:v>2.0833333333333335</x:v>
      </x:c>
      <x:c r="M7" s="87" t="n">
        <x:f>(K7*Assumptions!$B$6+L7)/Assumptions!$B$5</x:f>
        <x:v>0.01893939393939394</x:v>
      </x:c>
      <x:c r="N7" s="88" t="str">
        <x:v>Short-duration operation.</x:v>
      </x:c>
    </x:row>
    <x:row r="8">
      <x:c r="A8" s="84" t="str">
        <x:v>L-004</x:v>
      </x:c>
      <x:c r="B8" s="58" t="str">
        <x:v>Breaker closing coil</x:v>
      </x:c>
      <x:c r="C8" s="58" t="str">
        <x:v>Close circuit</x:v>
      </x:c>
      <x:c r="D8" s="58" t="n">
        <x:v>2</x:v>
      </x:c>
      <x:c r="E8" s="85" t="n">
        <x:v>300</x:v>
      </x:c>
      <x:c r="F8" s="58" t="str">
        <x:v>Intermittent</x:v>
      </x:c>
      <x:c r="G8" s="86" t="n">
        <x:v>0.25</x:v>
      </x:c>
      <x:c r="H8" s="61" t="n">
        <x:v>0.5</x:v>
      </x:c>
      <x:c r="I8" s="58" t="str">
        <x:v>Replace with breaker coil datasheet</x:v>
      </x:c>
      <x:c r="J8" s="87" t="n">
        <x:f>D8*E8</x:f>
        <x:v>600</x:v>
      </x:c>
      <x:c r="K8" s="87" t="n">
        <x:f>IF(F8="Continuous",J8*H8,0)</x:f>
        <x:v>0</x:v>
      </x:c>
      <x:c r="L8" s="87" t="n">
        <x:f>IF(F8="Intermittent",J8*H8*G8/60,0)</x:f>
        <x:v>1.25</x:v>
      </x:c>
      <x:c r="M8" s="87" t="n">
        <x:f>(K8*Assumptions!$B$6+L8)/Assumptions!$B$5</x:f>
        <x:v>0.011363636363636364</x:v>
      </x:c>
      <x:c r="N8" s="88" t="str">
        <x:v>Not all breakers close simultaneously.</x:v>
      </x:c>
    </x:row>
    <x:row r="9">
      <x:c r="A9" s="84" t="str">
        <x:v>L-005</x:v>
      </x:c>
      <x:c r="B9" s="58" t="str">
        <x:v>Annunciation / alarm circuits</x:v>
      </x:c>
      <x:c r="C9" s="58" t="str">
        <x:v>Annunciation</x:v>
      </x:c>
      <x:c r="D9" s="58" t="n">
        <x:v>1</x:v>
      </x:c>
      <x:c r="E9" s="85" t="n">
        <x:v>20</x:v>
      </x:c>
      <x:c r="F9" s="58" t="str">
        <x:v>Continuous</x:v>
      </x:c>
      <x:c r="G9" s="86" t="n">
        <x:v>480</x:v>
      </x:c>
      <x:c r="H9" s="61" t="n">
        <x:v>1</x:v>
      </x:c>
      <x:c r="I9" s="58" t="str">
        <x:v>Project load list</x:v>
      </x:c>
      <x:c r="J9" s="87" t="n">
        <x:f>D9*E9</x:f>
        <x:v>20</x:v>
      </x:c>
      <x:c r="K9" s="87" t="n">
        <x:f>IF(F9="Continuous",J9*H9,0)</x:f>
        <x:v>20</x:v>
      </x:c>
      <x:c r="L9" s="87" t="n">
        <x:f>IF(F9="Intermittent",J9*H9*G9/60,0)</x:f>
        <x:v>0</x:v>
      </x:c>
      <x:c r="M9" s="87" t="n">
        <x:f>(K9*Assumptions!$B$6+L9)/Assumptions!$B$5</x:f>
        <x:v>1.4545454545454546</x:v>
      </x:c>
      <x:c r="N9" s="88" t="str">
        <x:v>Critical alarm indication.</x:v>
      </x:c>
    </x:row>
    <x:row r="10">
      <x:c r="A10" s="84" t="str">
        <x:v>L-006</x:v>
      </x:c>
      <x:c r="B10" s="58" t="str">
        <x:v>AVR / excitation controller auxiliary supply</x:v>
      </x:c>
      <x:c r="C10" s="58" t="str">
        <x:v>AVR / excitation</x:v>
      </x:c>
      <x:c r="D10" s="58" t="n">
        <x:v>1</x:v>
      </x:c>
      <x:c r="E10" s="85" t="n">
        <x:v>60</x:v>
      </x:c>
      <x:c r="F10" s="58" t="str">
        <x:v>Continuous</x:v>
      </x:c>
      <x:c r="G10" s="86" t="n">
        <x:v>480</x:v>
      </x:c>
      <x:c r="H10" s="61" t="n">
        <x:v>1</x:v>
      </x:c>
      <x:c r="I10" s="58" t="str">
        <x:v>Replace with manufacturer datasheet</x:v>
      </x:c>
      <x:c r="J10" s="87" t="n">
        <x:f>D10*E10</x:f>
        <x:v>60</x:v>
      </x:c>
      <x:c r="K10" s="87" t="n">
        <x:f>IF(F10="Continuous",J10*H10,0)</x:f>
        <x:v>60</x:v>
      </x:c>
      <x:c r="L10" s="87" t="n">
        <x:f>IF(F10="Intermittent",J10*H10*G10/60,0)</x:f>
        <x:v>0</x:v>
      </x:c>
      <x:c r="M10" s="87" t="n">
        <x:f>(K10*Assumptions!$B$6+L10)/Assumptions!$B$5</x:f>
        <x:v>4.363636363636363</x:v>
      </x:c>
      <x:c r="N10" s="88" t="str">
        <x:v>Auxiliary control load, not generator excitation power.</x:v>
      </x:c>
    </x:row>
    <x:row r="11">
      <x:c r="A11" s="84" t="str">
        <x:v>L-007</x:v>
      </x:c>
      <x:c r="B11" s="58" t="str">
        <x:v>Emergency DC lighting / local panel lamps</x:v>
      </x:c>
      <x:c r="C11" s="58" t="str">
        <x:v>Emergency auxiliary</x:v>
      </x:c>
      <x:c r="D11" s="58" t="n">
        <x:v>4</x:v>
      </x:c>
      <x:c r="E11" s="85" t="n">
        <x:v>10</x:v>
      </x:c>
      <x:c r="F11" s="58" t="str">
        <x:v>Continuous</x:v>
      </x:c>
      <x:c r="G11" s="86" t="n">
        <x:v>480</x:v>
      </x:c>
      <x:c r="H11" s="61" t="n">
        <x:v>0.8</x:v>
      </x:c>
      <x:c r="I11" s="58" t="str">
        <x:v>Project load list</x:v>
      </x:c>
      <x:c r="J11" s="87" t="n">
        <x:f>D11*E11</x:f>
        <x:v>40</x:v>
      </x:c>
      <x:c r="K11" s="87" t="n">
        <x:f>IF(F11="Continuous",J11*H11,0)</x:f>
        <x:v>32</x:v>
      </x:c>
      <x:c r="L11" s="87" t="n">
        <x:f>IF(F11="Intermittent",J11*H11*G11/60,0)</x:f>
        <x:v>0</x:v>
      </x:c>
      <x:c r="M11" s="87" t="n">
        <x:f>(K11*Assumptions!$B$6+L11)/Assumptions!$B$5</x:f>
        <x:v>2.327272727272727</x:v>
      </x:c>
      <x:c r="N11" s="88" t="str">
        <x:v>Example auxiliary load.</x:v>
      </x:c>
    </x:row>
    <x:row r="12">
      <x:c r="A12" s="89" t="str">
        <x:v>L-008</x:v>
      </x:c>
      <x:c r="B12" s="63" t="str">
        <x:v>Spare future DC load allowance</x:v>
      </x:c>
      <x:c r="C12" s="63" t="str">
        <x:v>Spare capacity</x:v>
      </x:c>
      <x:c r="D12" s="63" t="n">
        <x:v>1</x:v>
      </x:c>
      <x:c r="E12" s="90" t="n">
        <x:v>50</x:v>
      </x:c>
      <x:c r="F12" s="63" t="str">
        <x:v>Continuous</x:v>
      </x:c>
      <x:c r="G12" s="91" t="n">
        <x:v>480</x:v>
      </x:c>
      <x:c r="H12" s="92" t="n">
        <x:v>1</x:v>
      </x:c>
      <x:c r="I12" s="63" t="str">
        <x:v>Engineering allowance</x:v>
      </x:c>
      <x:c r="J12" s="93" t="n">
        <x:f>D12*E12</x:f>
        <x:v>50</x:v>
      </x:c>
      <x:c r="K12" s="93" t="n">
        <x:f>IF(F12="Continuous",J12*H12,0)</x:f>
        <x:v>50</x:v>
      </x:c>
      <x:c r="L12" s="93" t="n">
        <x:f>IF(F12="Intermittent",J12*H12*G12/60,0)</x:f>
        <x:v>0</x:v>
      </x:c>
      <x:c r="M12" s="93" t="n">
        <x:f>(K12*Assumptions!$B$6+L12)/Assumptions!$B$5</x:f>
        <x:v>3.6363636363636362</x:v>
      </x:c>
      <x:c r="N12" s="94" t="str">
        <x:v>Optional spare allowance.</x:v>
      </x:c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06" t="str">
        <x:v>Totals</x:v>
      </x:c>
      <x:c r="J14" s="106" t="n">
        <x:f>SUM(J5:J12)</x:f>
        <x:v>1360</x:v>
      </x:c>
      <x:c r="K14" s="106" t="n">
        <x:f>SUM(K5:K12)</x:f>
        <x:v>252</x:v>
      </x:c>
      <x:c r="L14" s="106" t="n">
        <x:f>SUM(L5:L12)</x:f>
        <x:v>3.3333333333333335</x:v>
      </x:c>
      <x:c r="M14" s="106" t="n">
        <x:f>SUM(M5:M12)</x:f>
        <x:v>18.357575757575756</x:v>
      </x:c>
    </x:row>
  </x:sheetData>
  <x:mergeCells>
    <x:mergeCell ref="A1:N1"/>
    <x:mergeCell ref="A2:N2"/>
  </x:mergeCells>
  <x:dataValidations count="1">
    <x:dataValidation type="list" sqref="F5:F20">
      <x:formula1>"Continuous,Intermittent"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8" hidden="0" customWidth="1"/>
    <x:col min="5" max="5" width="12" hidden="0" customWidth="1"/>
    <x:col min="6" max="6" width="14" hidden="0" customWidth="1"/>
    <x:col min="7" max="7" width="46" hidden="0" customWidth="1"/>
  </x:cols>
  <x:sheetData>
    <x:row r="1" ht="19.200000762939453" hidden="0" customHeight="1">
      <x:c r="A1" s="5" t="str">
        <x:v>Battery Sizing Calculation</x:v>
      </x:c>
    </x:row>
    <x:row r="2" ht="30" customHeight="1">
      <x:c r="A2" s="12" t="str">
        <x:v>Formulas reference Assumptions and Load_Register. Change yellow inputs only in the source sheets.</x:v>
      </x:c>
    </x:row>
    <x:row r="4">
      <x:c r="A4" s="54" t="str">
        <x:v>Step</x:v>
      </x:c>
      <x:c r="B4" s="55" t="str">
        <x:v>Description</x:v>
      </x:c>
      <x:c r="C4" s="55" t="str">
        <x:v>Formula / reference</x:v>
      </x:c>
      <x:c r="D4" s="55" t="str">
        <x:v>Value</x:v>
      </x:c>
      <x:c r="E4" s="55" t="str">
        <x:v>Unit</x:v>
      </x:c>
      <x:c r="F4" s="55" t="str">
        <x:v>Cell type</x:v>
      </x:c>
      <x:c r="G4" s="56" t="str">
        <x:v>Comment</x:v>
      </x:c>
    </x:row>
    <x:row r="5">
      <x:c r="A5" s="57" t="str">
        <x:v>1</x:v>
      </x:c>
      <x:c r="B5" s="59" t="str">
        <x:v>Total continuous DC load</x:v>
      </x:c>
      <x:c r="C5" s="59" t="str">
        <x:v>Load_Register!K14</x:v>
      </x:c>
      <x:c r="D5" s="87" t="n">
        <x:f>Load_Register!K14</x:f>
        <x:v>252</x:v>
      </x:c>
      <x:c r="E5" s="59" t="str">
        <x:v>W</x:v>
      </x:c>
      <x:c r="F5" s="59" t="str"/>
      <x:c r="G5" s="60" t="str">
        <x:v>Calculated from continuous loads.</x:v>
      </x:c>
    </x:row>
    <x:row r="6">
      <x:c r="A6" s="57" t="str">
        <x:v>2</x:v>
      </x:c>
      <x:c r="B6" s="59" t="str">
        <x:v>Autonomy duration</x:v>
      </x:c>
      <x:c r="C6" s="59" t="str">
        <x:v>Assumptions!B6</x:v>
      </x:c>
      <x:c r="D6" s="87" t="n">
        <x:f>Assumptions!B6</x:f>
        <x:v>8</x:v>
      </x:c>
      <x:c r="E6" s="59" t="str">
        <x:v>h</x:v>
      </x:c>
      <x:c r="F6" s="59" t="str"/>
      <x:c r="G6" s="60" t="str">
        <x:v>Editable in Assumptions.</x:v>
      </x:c>
    </x:row>
    <x:row r="7">
      <x:c r="A7" s="57" t="str">
        <x:v>3</x:v>
      </x:c>
      <x:c r="B7" s="59" t="str">
        <x:v>Continuous load energy</x:v>
      </x:c>
      <x:c r="C7" s="59" t="str">
        <x:v>Continuous W × autonomy</x:v>
      </x:c>
      <x:c r="D7" s="87" t="n">
        <x:f>D5*D6</x:f>
        <x:v>2016</x:v>
      </x:c>
      <x:c r="E7" s="59" t="str">
        <x:v>Wh</x:v>
      </x:c>
      <x:c r="F7" s="59" t="str"/>
      <x:c r="G7" s="60" t="str">
        <x:v>Energy needed for continuous loads.</x:v>
      </x:c>
    </x:row>
    <x:row r="8">
      <x:c r="A8" s="57" t="str">
        <x:v>4</x:v>
      </x:c>
      <x:c r="B8" s="59" t="str">
        <x:v>Intermittent load energy</x:v>
      </x:c>
      <x:c r="C8" s="59" t="str">
        <x:v>Load_Register!L14</x:v>
      </x:c>
      <x:c r="D8" s="87" t="n">
        <x:f>Load_Register!L14</x:f>
        <x:v>3.3333333333333335</x:v>
      </x:c>
      <x:c r="E8" s="59" t="str">
        <x:v>Wh</x:v>
      </x:c>
      <x:c r="F8" s="59" t="str"/>
      <x:c r="G8" s="60" t="str">
        <x:v>Short-duration operations.</x:v>
      </x:c>
    </x:row>
    <x:row r="9">
      <x:c r="A9" s="57" t="str">
        <x:v>5</x:v>
      </x:c>
      <x:c r="B9" s="59" t="str">
        <x:v>Raw energy required</x:v>
      </x:c>
      <x:c r="C9" s="59" t="str">
        <x:v>Continuous energy + intermittent energy</x:v>
      </x:c>
      <x:c r="D9" s="87" t="n">
        <x:f>D7+D8</x:f>
        <x:v>2019.3333333333333</x:v>
      </x:c>
      <x:c r="E9" s="59" t="str">
        <x:v>Wh</x:v>
      </x:c>
      <x:c r="F9" s="59" t="str"/>
      <x:c r="G9" s="60" t="str">
        <x:v>Before margins and battery factors.</x:v>
      </x:c>
    </x:row>
    <x:row r="10">
      <x:c r="A10" s="57" t="str">
        <x:v>6</x:v>
      </x:c>
      <x:c r="B10" s="59" t="str">
        <x:v>Design margin</x:v>
      </x:c>
      <x:c r="C10" s="59" t="str">
        <x:v>Assumptions!B7</x:v>
      </x:c>
      <x:c r="D10" s="87" t="n">
        <x:f>Assumptions!B7</x:f>
        <x:v>0.3</x:v>
      </x:c>
      <x:c r="E10" s="59" t="str">
        <x:v>pu</x:v>
      </x:c>
      <x:c r="F10" s="59" t="str"/>
      <x:c r="G10" s="60" t="str">
        <x:v>Editable in Assumptions.</x:v>
      </x:c>
    </x:row>
    <x:row r="11">
      <x:c r="A11" s="57" t="str">
        <x:v>7</x:v>
      </x:c>
      <x:c r="B11" s="59" t="str">
        <x:v>Battery efficiency</x:v>
      </x:c>
      <x:c r="C11" s="59" t="str">
        <x:v>Assumptions!B8</x:v>
      </x:c>
      <x:c r="D11" s="87" t="n">
        <x:f>Assumptions!B8</x:f>
        <x:v>0.9</x:v>
      </x:c>
      <x:c r="E11" s="59" t="str">
        <x:v>pu</x:v>
      </x:c>
      <x:c r="F11" s="59" t="str"/>
      <x:c r="G11" s="60" t="str">
        <x:v>Editable in Assumptions.</x:v>
      </x:c>
    </x:row>
    <x:row r="12">
      <x:c r="A12" s="57" t="str">
        <x:v>8</x:v>
      </x:c>
      <x:c r="B12" s="59" t="str">
        <x:v>Maximum usable DoD</x:v>
      </x:c>
      <x:c r="C12" s="59" t="str">
        <x:v>Assumptions!B9</x:v>
      </x:c>
      <x:c r="D12" s="87" t="n">
        <x:f>Assumptions!B9</x:f>
        <x:v>0.8</x:v>
      </x:c>
      <x:c r="E12" s="59" t="str">
        <x:v>pu</x:v>
      </x:c>
      <x:c r="F12" s="59" t="str"/>
      <x:c r="G12" s="60" t="str">
        <x:v>Editable in Assumptions.</x:v>
      </x:c>
    </x:row>
    <x:row r="13">
      <x:c r="A13" s="57" t="str">
        <x:v>9</x:v>
      </x:c>
      <x:c r="B13" s="59" t="str">
        <x:v>Required battery energy</x:v>
      </x:c>
      <x:c r="C13" s="59" t="str">
        <x:v>Raw energy × (1+margin)/(efficiency×DoD)</x:v>
      </x:c>
      <x:c r="D13" s="87" t="n">
        <x:f>D9*(1+D10)/(D11*D12)</x:f>
        <x:v>3646.018518518518</x:v>
      </x:c>
      <x:c r="E13" s="59" t="str">
        <x:v>Wh</x:v>
      </x:c>
      <x:c r="F13" s="59" t="str"/>
      <x:c r="G13" s="60" t="str">
        <x:v>Concept-level capacity requirement.</x:v>
      </x:c>
    </x:row>
    <x:row r="14">
      <x:c r="A14" s="57" t="str">
        <x:v>10</x:v>
      </x:c>
      <x:c r="B14" s="59" t="str">
        <x:v>Nominal DC voltage</x:v>
      </x:c>
      <x:c r="C14" s="59" t="str">
        <x:v>Assumptions!B5</x:v>
      </x:c>
      <x:c r="D14" s="87" t="n">
        <x:f>Assumptions!B5</x:f>
        <x:v>110</x:v>
      </x:c>
      <x:c r="E14" s="59" t="str">
        <x:v>V DC</x:v>
      </x:c>
      <x:c r="F14" s="59" t="str"/>
      <x:c r="G14" s="60" t="str">
        <x:v>Editable in Assumptions.</x:v>
      </x:c>
    </x:row>
    <x:row r="15">
      <x:c r="A15" s="57" t="str">
        <x:v>11</x:v>
      </x:c>
      <x:c r="B15" s="59" t="str">
        <x:v>Required Ah capacity</x:v>
      </x:c>
      <x:c r="C15" s="59" t="str">
        <x:v>Required Wh / Vdc</x:v>
      </x:c>
      <x:c r="D15" s="87" t="n">
        <x:f>D13/D14</x:f>
        <x:v>33.145622895622886</x:v>
      </x:c>
      <x:c r="E15" s="59" t="str">
        <x:v>Ah</x:v>
      </x:c>
      <x:c r="F15" s="59" t="str"/>
      <x:c r="G15" s="60" t="str">
        <x:v>Rounded up during final selection.</x:v>
      </x:c>
    </x:row>
    <x:row r="16">
      <x:c r="A16" s="62" t="str">
        <x:v>12</x:v>
      </x:c>
      <x:c r="B16" s="64" t="str">
        <x:v>Recommended minimum nominal capacity</x:v>
      </x:c>
      <x:c r="C16" s="64" t="str">
        <x:v>CEILING(required Ah, 5)</x:v>
      </x:c>
      <x:c r="D16" s="93" t="n">
        <x:f>CEILING(D15,5)</x:f>
        <x:v>35</x:v>
      </x:c>
      <x:c r="E16" s="64" t="str">
        <x:v>Ah</x:v>
      </x:c>
      <x:c r="F16" s="64" t="str"/>
      <x:c r="G16" s="65" t="str">
        <x:v>Concept output; final selection by battery curves.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18" hidden="0" customWidth="1"/>
    <x:col min="5" max="5" width="12" hidden="0" customWidth="1"/>
    <x:col min="6" max="6" width="18" hidden="0" customWidth="1"/>
    <x:col min="7" max="7" width="46" hidden="0" customWidth="1"/>
  </x:cols>
  <x:sheetData>
    <x:row r="1" ht="19.200000762939453" hidden="0" customHeight="1">
      <x:c r="A1" s="5" t="str">
        <x:v>Charger Sizing Calculation</x:v>
      </x:c>
    </x:row>
    <x:row r="2" ht="30" customHeight="1">
      <x:c r="A2" s="12" t="str">
        <x:v>Charger rating estimates recharge current and simultaneous DC load support.</x:v>
      </x:c>
    </x:row>
    <x:row r="4">
      <x:c r="A4" s="54" t="str">
        <x:v>Step</x:v>
      </x:c>
      <x:c r="B4" s="55" t="str">
        <x:v>Description</x:v>
      </x:c>
      <x:c r="C4" s="55" t="str">
        <x:v>Formula / reference</x:v>
      </x:c>
      <x:c r="D4" s="55" t="str">
        <x:v>Value</x:v>
      </x:c>
      <x:c r="E4" s="55" t="str">
        <x:v>Unit</x:v>
      </x:c>
      <x:c r="F4" s="55" t="str">
        <x:v>Editable?</x:v>
      </x:c>
      <x:c r="G4" s="56" t="str">
        <x:v>Comment</x:v>
      </x:c>
    </x:row>
    <x:row r="5">
      <x:c r="A5" s="57" t="str">
        <x:v>1</x:v>
      </x:c>
      <x:c r="B5" s="59" t="str">
        <x:v>Required Ah capacity</x:v>
      </x:c>
      <x:c r="C5" s="59" t="str">
        <x:v>Battery_Sizing!D15</x:v>
      </x:c>
      <x:c r="D5" s="87" t="n">
        <x:f>Battery_Sizing!D15</x:f>
        <x:v>33.145622895622886</x:v>
      </x:c>
      <x:c r="E5" s="59" t="str">
        <x:v>Ah</x:v>
      </x:c>
      <x:c r="F5" s="59" t="str">
        <x:v>No</x:v>
      </x:c>
      <x:c r="G5" s="60" t="str">
        <x:v>Battery Ah before rounding.</x:v>
      </x:c>
    </x:row>
    <x:row r="6">
      <x:c r="A6" s="57" t="str">
        <x:v>2</x:v>
      </x:c>
      <x:c r="B6" s="59" t="str">
        <x:v>Target recharge time</x:v>
      </x:c>
      <x:c r="C6" s="59" t="str">
        <x:v>Assumptions!B10</x:v>
      </x:c>
      <x:c r="D6" s="87" t="n">
        <x:f>Assumptions!B10</x:f>
        <x:v>10</x:v>
      </x:c>
      <x:c r="E6" s="59" t="str">
        <x:v>h</x:v>
      </x:c>
      <x:c r="F6" s="59" t="str">
        <x:v>Yes, in Assumptions</x:v>
      </x:c>
      <x:c r="G6" s="60" t="str">
        <x:v>Charging duration assumption.</x:v>
      </x:c>
    </x:row>
    <x:row r="7">
      <x:c r="A7" s="57" t="str">
        <x:v>3</x:v>
      </x:c>
      <x:c r="B7" s="59" t="str">
        <x:v>Recharge current</x:v>
      </x:c>
      <x:c r="C7" s="59" t="str">
        <x:v>Ah / recharge time</x:v>
      </x:c>
      <x:c r="D7" s="87" t="n">
        <x:f>D5/D6</x:f>
        <x:v>3.3145622895622884</x:v>
      </x:c>
      <x:c r="E7" s="59" t="str">
        <x:v>A</x:v>
      </x:c>
      <x:c r="F7" s="59" t="str">
        <x:v>No</x:v>
      </x:c>
      <x:c r="G7" s="60" t="str">
        <x:v>Ideal current before margin.</x:v>
      </x:c>
    </x:row>
    <x:row r="8">
      <x:c r="A8" s="57" t="str">
        <x:v>4</x:v>
      </x:c>
      <x:c r="B8" s="59" t="str">
        <x:v>Charger design margin</x:v>
      </x:c>
      <x:c r="C8" s="59" t="str">
        <x:v>Assumptions!B11</x:v>
      </x:c>
      <x:c r="D8" s="87" t="n">
        <x:f>Assumptions!B11</x:f>
        <x:v>0.2</x:v>
      </x:c>
      <x:c r="E8" s="59" t="str">
        <x:v>pu</x:v>
      </x:c>
      <x:c r="F8" s="59" t="str">
        <x:v>Yes, in Assumptions</x:v>
      </x:c>
      <x:c r="G8" s="60" t="str">
        <x:v>Margin for practical design.</x:v>
      </x:c>
    </x:row>
    <x:row r="9">
      <x:c r="A9" s="57" t="str">
        <x:v>5</x:v>
      </x:c>
      <x:c r="B9" s="59" t="str">
        <x:v>Recharge current with margin</x:v>
      </x:c>
      <x:c r="C9" s="59" t="str">
        <x:v>Recharge current × (1+margin)</x:v>
      </x:c>
      <x:c r="D9" s="87" t="n">
        <x:f>D7*(1+D8)</x:f>
        <x:v>3.977474747474746</x:v>
      </x:c>
      <x:c r="E9" s="59" t="str">
        <x:v>A</x:v>
      </x:c>
      <x:c r="F9" s="59" t="str">
        <x:v>No</x:v>
      </x:c>
      <x:c r="G9" s="60" t="str">
        <x:v>Recharge component.</x:v>
      </x:c>
    </x:row>
    <x:row r="10">
      <x:c r="A10" s="57" t="str">
        <x:v>6</x:v>
      </x:c>
      <x:c r="B10" s="59" t="str">
        <x:v>Continuous load current</x:v>
      </x:c>
      <x:c r="C10" s="59" t="str">
        <x:v>Continuous W / Vdc</x:v>
      </x:c>
      <x:c r="D10" s="87" t="n">
        <x:f>Load_Register!K14/Assumptions!B5</x:f>
        <x:v>2.290909090909091</x:v>
      </x:c>
      <x:c r="E10" s="59" t="str">
        <x:v>A</x:v>
      </x:c>
      <x:c r="F10" s="59" t="str">
        <x:v>No</x:v>
      </x:c>
      <x:c r="G10" s="60" t="str">
        <x:v>Load supported while charging.</x:v>
      </x:c>
    </x:row>
    <x:row r="11">
      <x:c r="A11" s="57" t="str">
        <x:v>7</x:v>
      </x:c>
      <x:c r="B11" s="59" t="str">
        <x:v>Minimum charger current</x:v>
      </x:c>
      <x:c r="C11" s="59" t="str">
        <x:v>Recharge with margin + continuous load current</x:v>
      </x:c>
      <x:c r="D11" s="87" t="n">
        <x:f>D9+D10</x:f>
        <x:v>6.268383838383837</x:v>
      </x:c>
      <x:c r="E11" s="59" t="str">
        <x:v>A</x:v>
      </x:c>
      <x:c r="F11" s="59" t="str">
        <x:v>No</x:v>
      </x:c>
      <x:c r="G11" s="60" t="str">
        <x:v>Concept current rating.</x:v>
      </x:c>
    </x:row>
    <x:row r="12">
      <x:c r="A12" s="57" t="str">
        <x:v>8</x:v>
      </x:c>
      <x:c r="B12" s="59" t="str">
        <x:v>Recommended charger current</x:v>
      </x:c>
      <x:c r="C12" s="59" t="str">
        <x:v>CEILING(minimum current, 5)</x:v>
      </x:c>
      <x:c r="D12" s="87" t="n">
        <x:f>CEILING(D11,5)</x:f>
        <x:v>10</x:v>
      </x:c>
      <x:c r="E12" s="59" t="str">
        <x:v>A</x:v>
      </x:c>
      <x:c r="F12" s="59" t="str">
        <x:v>No</x:v>
      </x:c>
      <x:c r="G12" s="60" t="str">
        <x:v>Select nearest higher standard rating.</x:v>
      </x:c>
    </x:row>
    <x:row r="13">
      <x:c r="A13" s="62" t="str">
        <x:v>9</x:v>
      </x:c>
      <x:c r="B13" s="64" t="str">
        <x:v>Recommended charger power</x:v>
      </x:c>
      <x:c r="C13" s="64" t="str">
        <x:v>Vdc × current / 1000</x:v>
      </x:c>
      <x:c r="D13" s="93" t="n">
        <x:f>Assumptions!B5*D12/1000</x:f>
        <x:v>1.1</x:v>
      </x:c>
      <x:c r="E13" s="64" t="str">
        <x:v>kW</x:v>
      </x:c>
      <x:c r="F13" s="64" t="str">
        <x:v>No</x:v>
      </x:c>
      <x:c r="G13" s="65" t="str">
        <x:v>Approximate DC output power.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5" hidden="0" customWidth="1"/>
    <x:col min="9" max="9" width="14" hidden="0" customWidth="1"/>
    <x:col min="10" max="10" width="14" hidden="0" customWidth="1"/>
    <x:col min="11" max="11" width="12" hidden="0" customWidth="1"/>
    <x:col min="12" max="12" width="38" hidden="0" customWidth="1"/>
    <x:col min="13" max="13" width="36" hidden="0" customWidth="1"/>
  </x:cols>
  <x:sheetData>
    <x:row r="1" ht="19.200000762939453" hidden="0" customHeight="1">
      <x:c r="A1" s="5" t="str">
        <x:v>Cable Voltage-Drop Check</x:v>
      </x:c>
    </x:row>
    <x:row r="2" ht="30" customHeight="1">
      <x:c r="A2" s="12" t="str">
        <x:v>Enter yellow cable route data. Green columns calculate resistance, voltage drop, and pass/fail result.</x:v>
      </x:c>
    </x:row>
    <x:row r="4">
      <x:c r="A4" s="54" t="str">
        <x:v>Circuit ID</x:v>
      </x:c>
      <x:c r="B4" s="55" t="str">
        <x:v>Description</x:v>
      </x:c>
      <x:c r="C4" s="55" t="str">
        <x:v>Load current (A)</x:v>
      </x:c>
      <x:c r="D4" s="55" t="str">
        <x:v>One-way cable length (m)</x:v>
      </x:c>
      <x:c r="E4" s="55" t="str">
        <x:v>Conductor area (mm²)</x:v>
      </x:c>
      <x:c r="F4" s="55" t="str">
        <x:v>Copper resistivity (Ω mm²/m)</x:v>
      </x:c>
      <x:c r="G4" s="55" t="str">
        <x:v>Allowable VD (%)</x:v>
      </x:c>
      <x:c r="H4" s="55" t="str">
        <x:v>Loop resistance (Ω)</x:v>
      </x:c>
      <x:c r="I4" s="55" t="str">
        <x:v>Voltage drop (V)</x:v>
      </x:c>
      <x:c r="J4" s="55" t="str">
        <x:v>Voltage drop (%)</x:v>
      </x:c>
      <x:c r="K4" s="55" t="str">
        <x:v>Result</x:v>
      </x:c>
      <x:c r="L4" s="55" t="str">
        <x:v>Formula note</x:v>
      </x:c>
      <x:c r="M4" s="56" t="str">
        <x:v>Source / remarks</x:v>
      </x:c>
    </x:row>
    <x:row r="5">
      <x:c r="A5" s="84" t="str">
        <x:v>C-001</x:v>
      </x:c>
      <x:c r="B5" s="58" t="str">
        <x:v>Battery charger to DC distribution board</x:v>
      </x:c>
      <x:c r="C5" s="87" t="n">
        <x:f>Charger_Sizing!D12</x:f>
        <x:v>10</x:v>
      </x:c>
      <x:c r="D5" s="86" t="n">
        <x:v>25</x:v>
      </x:c>
      <x:c r="E5" s="86" t="n">
        <x:v>25</x:v>
      </x:c>
      <x:c r="F5" s="87" t="n">
        <x:f>Assumptions!$B$13</x:f>
        <x:v>0.0175</x:v>
      </x:c>
      <x:c r="G5" s="87" t="n">
        <x:f>Assumptions!$B$12</x:f>
        <x:v>0.03</x:v>
      </x:c>
      <x:c r="H5" s="87" t="n">
        <x:f>2*D5*F5/E5</x:f>
        <x:v>0.035</x:v>
      </x:c>
      <x:c r="I5" s="87" t="n">
        <x:f>C5*H5</x:f>
        <x:v>0.35000000000000003</x:v>
      </x:c>
      <x:c r="J5" s="87" t="n">
        <x:f>I5/Assumptions!$B$5</x:f>
        <x:v>0.003181818181818182</x:v>
      </x:c>
      <x:c r="K5" s="118" t="str">
        <x:f>IF(J5&lt;=G5,"PASS","REVIEW")</x:f>
        <x:v>PASS</x:v>
      </x:c>
      <x:c r="L5" s="118" t="str">
        <x:v>Loop resistance = 2 × length × ρ / area</x:v>
      </x:c>
      <x:c r="M5" s="88" t="str">
        <x:v>Replace route length and cable size.</x:v>
      </x:c>
    </x:row>
    <x:row r="6">
      <x:c r="A6" s="84" t="str">
        <x:v>C-002</x:v>
      </x:c>
      <x:c r="B6" s="58" t="str">
        <x:v>DCDB to protection/control panel</x:v>
      </x:c>
      <x:c r="C6" s="87" t="n">
        <x:f>Load_Register!J5/Assumptions!B5</x:f>
        <x:v>0.45454545454545453</x:v>
      </x:c>
      <x:c r="D6" s="86" t="n">
        <x:v>40</x:v>
      </x:c>
      <x:c r="E6" s="86" t="n">
        <x:v>10</x:v>
      </x:c>
      <x:c r="F6" s="87" t="n">
        <x:f>Assumptions!$B$13</x:f>
        <x:v>0.0175</x:v>
      </x:c>
      <x:c r="G6" s="87" t="n">
        <x:f>Assumptions!$B$12</x:f>
        <x:v>0.03</x:v>
      </x:c>
      <x:c r="H6" s="87" t="n">
        <x:f>2*D6*F6/E6</x:f>
        <x:v>0.14</x:v>
      </x:c>
      <x:c r="I6" s="87" t="n">
        <x:f>C6*H6</x:f>
        <x:v>0.06363636363636364</x:v>
      </x:c>
      <x:c r="J6" s="87" t="n">
        <x:f>I6/Assumptions!$B$5</x:f>
        <x:v>0.0005785123966942149</x:v>
      </x:c>
      <x:c r="K6" s="118" t="str">
        <x:f>IF(J6&lt;=G6,"PASS","REVIEW")</x:f>
        <x:v>PASS</x:v>
      </x:c>
      <x:c r="L6" s="118" t="str">
        <x:v>Voltage drop = current × resistance</x:v>
      </x:c>
      <x:c r="M6" s="88" t="str">
        <x:v>Use cable schedule / route length.</x:v>
      </x:c>
    </x:row>
    <x:row r="7">
      <x:c r="A7" s="89" t="str">
        <x:v>C-003</x:v>
      </x:c>
      <x:c r="B7" s="63" t="str">
        <x:v>DCDB to AVR auxiliary panel</x:v>
      </x:c>
      <x:c r="C7" s="93" t="n">
        <x:f>Load_Register!J10/Assumptions!B5</x:f>
        <x:v>0.5454545454545454</x:v>
      </x:c>
      <x:c r="D7" s="91" t="n">
        <x:v>35</x:v>
      </x:c>
      <x:c r="E7" s="91" t="n">
        <x:v>6</x:v>
      </x:c>
      <x:c r="F7" s="93" t="n">
        <x:f>Assumptions!$B$13</x:f>
        <x:v>0.0175</x:v>
      </x:c>
      <x:c r="G7" s="93" t="n">
        <x:f>Assumptions!$B$12</x:f>
        <x:v>0.03</x:v>
      </x:c>
      <x:c r="H7" s="93" t="n">
        <x:f>2*D7*F7/E7</x:f>
        <x:v>0.2041666666666667</x:v>
      </x:c>
      <x:c r="I7" s="93" t="n">
        <x:f>C7*H7</x:f>
        <x:v>0.11136363636363637</x:v>
      </x:c>
      <x:c r="J7" s="93" t="n">
        <x:f>I7/Assumptions!$B$5</x:f>
        <x:v>0.0010123966942148762</x:v>
      </x:c>
      <x:c r="K7" s="119" t="str">
        <x:f>IF(J7&lt;=G7,"PASS","REVIEW")</x:f>
        <x:v>PASS</x:v>
      </x:c>
      <x:c r="L7" s="119" t="str">
        <x:v>Check against project limit</x:v>
      </x:c>
      <x:c r="M7" s="94" t="str">
        <x:v>Use final panel load and route.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28" hidden="0" customWidth="1"/>
    <x:col min="4" max="4" width="28" hidden="0" customWidth="1"/>
    <x:col min="5" max="5" width="16" hidden="0" customWidth="1"/>
    <x:col min="6" max="6" width="36" hidden="0" customWidth="1"/>
    <x:col min="7" max="7" width="46" hidden="0" customWidth="1"/>
  </x:cols>
  <x:sheetData>
    <x:row r="1" ht="19.200000762939453" hidden="0" customHeight="1">
      <x:c r="A1" s="5" t="str">
        <x:v>Protection Relay and AVR Auxiliary Load Notes</x:v>
      </x:c>
    </x:row>
    <x:row r="2" ht="30" customHeight="1">
      <x:c r="A2" s="12" t="str">
        <x:v>Engineering notes for understanding how protection, trip/close, SCADA/RTU, annunciation, and AVR auxiliary loads appear in a DC supply load register.</x:v>
      </x:c>
    </x:row>
    <x:row r="4">
      <x:c r="A4" s="54" t="str">
        <x:v>Load category</x:v>
      </x:c>
      <x:c r="B4" s="55" t="str">
        <x:v>Why it matters for DC auxiliary supply</x:v>
      </x:c>
      <x:c r="C4" s="55" t="str">
        <x:v>Typical input needed</x:v>
      </x:c>
      <x:c r="D4" s="55" t="str">
        <x:v>How it appears in workbook</x:v>
      </x:c>
      <x:c r="E4" s="55" t="str">
        <x:v>Editable?</x:v>
      </x:c>
      <x:c r="F4" s="55" t="str">
        <x:v>Recommended source</x:v>
      </x:c>
      <x:c r="G4" s="56" t="str">
        <x:v>Important note</x:v>
      </x:c>
    </x:row>
    <x:row r="5">
      <x:c r="A5" s="122" t="str">
        <x:v>Protection relay panel</x:v>
      </x:c>
      <x:c r="B5" s="123" t="str">
        <x:v>Protection relays must remain powered during abnormal conditions to detect faults and initiate trips.</x:v>
      </x:c>
      <x:c r="C5" s="123" t="str">
        <x:v>Relay supply voltage and power consumption</x:v>
      </x:c>
      <x:c r="D5" s="123" t="str">
        <x:v>Continuous load in Load_Register</x:v>
      </x:c>
      <x:c r="E5" s="123" t="str">
        <x:v>Yes, load data is editable</x:v>
      </x:c>
      <x:c r="F5" s="123" t="str">
        <x:v>Relay datasheet / panel vendor list</x:v>
      </x:c>
      <x:c r="G5" s="124" t="str">
        <x:v>Use exact relay model; example values are not final design data.</x:v>
      </x:c>
    </x:row>
    <x:row r="6">
      <x:c r="A6" s="122" t="str">
        <x:v>Trip circuit / trip coil</x:v>
      </x:c>
      <x:c r="B6" s="123" t="str">
        <x:v>Breaker trip coils need reliable DC supply for fault clearing and safe shutdown.</x:v>
      </x:c>
      <x:c r="C6" s="123" t="str">
        <x:v>Coil voltage, current or power, operating duration, number of simultaneous operations</x:v>
      </x:c>
      <x:c r="D6" s="123" t="str">
        <x:v>Intermittent load with short duration</x:v>
      </x:c>
      <x:c r="E6" s="123" t="str">
        <x:v>Yes</x:v>
      </x:c>
      <x:c r="F6" s="123" t="str">
        <x:v>Breaker datasheet / switchgear vendor data</x:v>
      </x:c>
      <x:c r="G6" s="124" t="str">
        <x:v>Duration is usually seconds or fractions of a minute; confirm from datasheet.</x:v>
      </x:c>
    </x:row>
    <x:row r="7">
      <x:c r="A7" s="122" t="str">
        <x:v>Close circuit / closing coil</x:v>
      </x:c>
      <x:c r="B7" s="123" t="str">
        <x:v>Closing coils may operate after restoration or switching sequence.</x:v>
      </x:c>
      <x:c r="C7" s="123" t="str">
        <x:v>Coil rating, operation duration, simultaneity factor</x:v>
      </x:c>
      <x:c r="D7" s="123" t="str">
        <x:v>Intermittent load with simultaneity factor</x:v>
      </x:c>
      <x:c r="E7" s="123" t="str">
        <x:v>Yes</x:v>
      </x:c>
      <x:c r="F7" s="123" t="str">
        <x:v>Breaker / switchgear datasheet</x:v>
      </x:c>
      <x:c r="G7" s="124" t="str">
        <x:v>Not every breaker closes simultaneously; simultaneity factor should follow switching philosophy.</x:v>
      </x:c>
    </x:row>
    <x:row r="8">
      <x:c r="A8" s="122" t="str">
        <x:v>SCADA / RTU / communication</x:v>
      </x:c>
      <x:c r="B8" s="123" t="str">
        <x:v>Remote monitoring and control must remain available during AC supply loss.</x:v>
      </x:c>
      <x:c r="C8" s="123" t="str">
        <x:v>Device power draw, communication equipment load, duty requirement</x:v>
      </x:c>
      <x:c r="D8" s="123" t="str">
        <x:v>Continuous load</x:v>
      </x:c>
      <x:c r="E8" s="123" t="str">
        <x:v>Yes</x:v>
      </x:c>
      <x:c r="F8" s="123" t="str">
        <x:v>SCADA/RTU vendor datasheet</x:v>
      </x:c>
      <x:c r="G8" s="124" t="str">
        <x:v>Include communication devices if fed from DC system.</x:v>
      </x:c>
    </x:row>
    <x:row r="9">
      <x:c r="A9" s="122" t="str">
        <x:v>Annunciation / alarm circuits</x:v>
      </x:c>
      <x:c r="B9" s="123" t="str">
        <x:v>Alarms and status indication support operator response during emergency conditions.</x:v>
      </x:c>
      <x:c r="C9" s="123" t="str">
        <x:v>Lamp/alarm module load and quantity</x:v>
      </x:c>
      <x:c r="D9" s="123" t="str">
        <x:v>Continuous or intermittent depending on design</x:v>
      </x:c>
      <x:c r="E9" s="123" t="str">
        <x:v>Yes</x:v>
      </x:c>
      <x:c r="F9" s="123" t="str">
        <x:v>Panel wiring schedule / vendor data</x:v>
      </x:c>
      <x:c r="G9" s="124" t="str">
        <x:v>Classify as continuous if alarms must be powered for full autonomy.</x:v>
      </x:c>
    </x:row>
    <x:row r="10">
      <x:c r="A10" s="122" t="str">
        <x:v>AVR / excitation controller auxiliary supply</x:v>
      </x:c>
      <x:c r="B10" s="123" t="str">
        <x:v>AVR/control electronics may require auxiliary DC power for monitoring/control functions.</x:v>
      </x:c>
      <x:c r="C10" s="123" t="str">
        <x:v>Controller auxiliary supply power, not main excitation power</x:v>
      </x:c>
      <x:c r="D10" s="123" t="str">
        <x:v>Continuous load category</x:v>
      </x:c>
      <x:c r="E10" s="123" t="str">
        <x:v>Yes</x:v>
      </x:c>
      <x:c r="F10" s="123" t="str">
        <x:v>AVR/excitation manufacturer datasheet</x:v>
      </x:c>
      <x:c r="G10" s="124" t="str">
        <x:v>Do not confuse auxiliary control supply with generator excitation output power.</x:v>
      </x:c>
    </x:row>
    <x:row r="11">
      <x:c r="A11" s="125" t="str">
        <x:v>Emergency DC auxiliary loads</x:v>
      </x:c>
      <x:c r="B11" s="126" t="str">
        <x:v>Selected lighting, control, or emergency auxiliaries may be included in critical DC supply.</x:v>
      </x:c>
      <x:c r="C11" s="126" t="str">
        <x:v>Load list, quantities, operation time</x:v>
      </x:c>
      <x:c r="D11" s="126" t="str">
        <x:v>Continuous or intermittent depending on requirement</x:v>
      </x:c>
      <x:c r="E11" s="126" t="str">
        <x:v>Yes</x:v>
      </x:c>
      <x:c r="F11" s="126" t="str">
        <x:v>Project load list/specification</x:v>
      </x:c>
      <x:c r="G11" s="127" t="str">
        <x:v>Only include loads specified as critical DC loads.</x:v>
      </x:c>
    </x:row>
    <x:row r="13">
      <x:c r="A13" s="24" t="str">
        <x:v>Formula logic used in this workbook</x:v>
      </x:c>
    </x:row>
    <x:row r="14">
      <x:c r="A14" s="54" t="str">
        <x:v>Continuous load energy</x:v>
      </x:c>
      <x:c r="B14" s="55" t="str">
        <x:v>Continuous W × autonomy hours</x:v>
      </x:c>
      <x:c r="C14" s="56" t="str">
        <x:v>Used for relay, SCADA, AVR auxiliary, alarms, and other loads that must remain available during full backup duration.</x:v>
      </x:c>
    </x:row>
    <x:row r="15">
      <x:c r="A15" s="57" t="str">
        <x:v>Intermittent load energy</x:v>
      </x:c>
      <x:c r="B15" s="59" t="str">
        <x:v>Connected W × simultaneity factor × duration minutes / 60</x:v>
      </x:c>
      <x:c r="C15" s="60" t="str">
        <x:v>Used for trip coils, closing coils, and short-duration operations.</x:v>
      </x:c>
    </x:row>
    <x:row r="16">
      <x:c r="A16" s="57" t="str">
        <x:v>Equivalent Ah</x:v>
      </x:c>
      <x:c r="B16" s="59" t="str">
        <x:v>Energy Wh / nominal DC voltage</x:v>
      </x:c>
      <x:c r="C16" s="60" t="str">
        <x:v>Converts load energy into battery ampere-hour contribution.</x:v>
      </x:c>
    </x:row>
    <x:row r="17">
      <x:c r="A17" s="57" t="str">
        <x:v>Battery capacity</x:v>
      </x:c>
      <x:c r="B17" s="59" t="str">
        <x:v>Raw energy × (1 + margin) / (efficiency × usable DoD) / voltage</x:v>
      </x:c>
      <x:c r="C17" s="60" t="str">
        <x:v>Concept-level capacity before final manufacturer selection.</x:v>
      </x:c>
    </x:row>
    <x:row r="18">
      <x:c r="A18" s="62" t="str">
        <x:v>Cable voltage drop</x:v>
      </x:c>
      <x:c r="B18" s="64" t="str">
        <x:v>Vdrop = current × (2 × route length × resistivity / conductor area)</x:v>
      </x:c>
      <x:c r="C18" s="65" t="str">
        <x:v>Checks whether selected cable route and cross-section remain within allowable voltage drop.</x:v>
      </x:c>
    </x:row>
  </x:sheetData>
  <x:mergeCells>
    <x:mergeCell ref="A1:G1"/>
    <x:mergeCell ref="A2:G2"/>
    <x:mergeCell ref="A13:G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8" hidden="0" customWidth="1"/>
    <x:col min="4" max="4" width="24" hidden="0" customWidth="1"/>
    <x:col min="5" max="5" width="18" hidden="0" customWidth="1"/>
    <x:col min="6" max="6" width="16" hidden="0" customWidth="1"/>
    <x:col min="7" max="7" width="42" hidden="0" customWidth="1"/>
  </x:cols>
  <x:sheetData>
    <x:row r="1" ht="19.200000762939453" hidden="0" customHeight="1">
      <x:c r="A1" s="5" t="str">
        <x:v>Requirement Traceability</x:v>
      </x:c>
    </x:row>
    <x:row r="2" ht="30" customHeight="1">
      <x:c r="A2" s="12" t="str">
        <x:v>Maps workbook content to common DC auxiliary engineering requirements and hydropower-internship-relevant skills.</x:v>
      </x:c>
    </x:row>
    <x:row r="4">
      <x:c r="A4" s="54" t="str">
        <x:v>Requirement / skill area</x:v>
      </x:c>
      <x:c r="B4" s="55" t="str">
        <x:v>Workbook coverage</x:v>
      </x:c>
      <x:c r="C4" s="55" t="str">
        <x:v>Where shown</x:v>
      </x:c>
      <x:c r="D4" s="55" t="str">
        <x:v>Evidence type</x:v>
      </x:c>
      <x:c r="E4" s="55" t="str">
        <x:v>Status</x:v>
      </x:c>
      <x:c r="F4" s="55" t="str">
        <x:v>Editable?</x:v>
      </x:c>
      <x:c r="G4" s="56" t="str">
        <x:v>Notes</x:v>
      </x:c>
    </x:row>
    <x:row r="5">
      <x:c r="A5" s="57" t="str">
        <x:v>Excel-based calculation sheet</x:v>
      </x:c>
      <x:c r="B5" s="59" t="str">
        <x:v>Battery, charger, and cable calculations are formula-driven</x:v>
      </x:c>
      <x:c r="C5" s="59" t="str">
        <x:v>Battery_Sizing, Charger_Sizing, Cable_VDrop</x:v>
      </x:c>
      <x:c r="D5" s="59" t="str">
        <x:v>Workbook formula logic</x:v>
      </x:c>
      <x:c r="E5" s="59" t="str">
        <x:v>Covered</x:v>
      </x:c>
      <x:c r="F5" s="59" t="str">
        <x:v>Yes, inputs editable</x:v>
      </x:c>
      <x:c r="G5" s="60" t="str">
        <x:v>Good evidence for Excel calculation-sheet requirement.</x:v>
      </x:c>
    </x:row>
    <x:row r="6">
      <x:c r="A6" s="57" t="str">
        <x:v>DC power supply systems</x:v>
      </x:c>
      <x:c r="B6" s="59" t="str">
        <x:v>DC load register, battery sizing, charger sizing, DC architecture</x:v>
      </x:c>
      <x:c r="C6" s="59" t="str">
        <x:v>Load_Register, Architecture</x:v>
      </x:c>
      <x:c r="D6" s="59" t="str">
        <x:v>Engineering workflow</x:v>
      </x:c>
      <x:c r="E6" s="59" t="str">
        <x:v>Covered</x:v>
      </x:c>
      <x:c r="F6" s="59" t="str">
        <x:v>Yes</x:v>
      </x:c>
      <x:c r="G6" s="60" t="str">
        <x:v>Concept-level, not final certified design.</x:v>
      </x:c>
    </x:row>
    <x:row r="7">
      <x:c r="A7" s="57" t="str">
        <x:v>Emergency / auxiliary supply</x:v>
      </x:c>
      <x:c r="B7" s="59" t="str">
        <x:v>Autonomy, critical DC loads, emergency loads</x:v>
      </x:c>
      <x:c r="C7" s="59" t="str">
        <x:v>Assumptions, Load_Register</x:v>
      </x:c>
      <x:c r="D7" s="59" t="str">
        <x:v>Design concept</x:v>
      </x:c>
      <x:c r="E7" s="59" t="str">
        <x:v>Covered</x:v>
      </x:c>
      <x:c r="F7" s="59" t="str">
        <x:v>Yes</x:v>
      </x:c>
      <x:c r="G7" s="60" t="str">
        <x:v>Replace example loads with project load list.</x:v>
      </x:c>
    </x:row>
    <x:row r="8">
      <x:c r="A8" s="57" t="str">
        <x:v>Digital protection systems</x:v>
      </x:c>
      <x:c r="B8" s="59" t="str">
        <x:v>Protection relay panel and trip/close circuits included as critical DC loads</x:v>
      </x:c>
      <x:c r="C8" s="59" t="str">
        <x:v>Protection_AVR_Notes, Load_Register</x:v>
      </x:c>
      <x:c r="D8" s="59" t="str">
        <x:v>Load-category mapping</x:v>
      </x:c>
      <x:c r="E8" s="59" t="str">
        <x:v>Partially covered</x:v>
      </x:c>
      <x:c r="F8" s="59" t="str">
        <x:v>Yes</x:v>
      </x:c>
      <x:c r="G8" s="60" t="str">
        <x:v>Demonstrates understanding; does not claim protection setting design.</x:v>
      </x:c>
    </x:row>
    <x:row r="9">
      <x:c r="A9" s="57" t="str">
        <x:v>Voltage regulators / AVR</x:v>
      </x:c>
      <x:c r="B9" s="59" t="str">
        <x:v>AVR auxiliary supply included as a DC critical load category</x:v>
      </x:c>
      <x:c r="C9" s="59" t="str">
        <x:v>Protection_AVR_Notes, Load_Register</x:v>
      </x:c>
      <x:c r="D9" s="59" t="str">
        <x:v>Load-category mapping</x:v>
      </x:c>
      <x:c r="E9" s="59" t="str">
        <x:v>Partially covered</x:v>
      </x:c>
      <x:c r="F9" s="59" t="str">
        <x:v>Yes</x:v>
      </x:c>
      <x:c r="G9" s="60" t="str">
        <x:v>Auxiliary control supply only, not excitation-system design.</x:v>
      </x:c>
    </x:row>
    <x:row r="10">
      <x:c r="A10" s="57" t="str">
        <x:v>Electrical equipment specification mindset</x:v>
      </x:c>
      <x:c r="B10" s="59" t="str">
        <x:v>Inputs require datasheets, load lists, voltage, duration, cable size</x:v>
      </x:c>
      <x:c r="C10" s="59" t="str">
        <x:v>Source_Basis, Assumptions</x:v>
      </x:c>
      <x:c r="D10" s="59" t="str">
        <x:v>Source traceability</x:v>
      </x:c>
      <x:c r="E10" s="59" t="str">
        <x:v>Covered</x:v>
      </x:c>
      <x:c r="F10" s="59" t="str">
        <x:v>Yes</x:v>
      </x:c>
      <x:c r="G10" s="60" t="str">
        <x:v>Shows awareness of data sources and replaceable assumptions.</x:v>
      </x:c>
    </x:row>
    <x:row r="11">
      <x:c r="A11" s="62" t="str">
        <x:v>Voltage-drop check</x:v>
      </x:c>
      <x:c r="B11" s="64" t="str">
        <x:v>Cable current, length, cross-section, resistivity, and VD limit checked</x:v>
      </x:c>
      <x:c r="C11" s="64" t="str">
        <x:v>Cable_VDrop</x:v>
      </x:c>
      <x:c r="D11" s="64" t="str">
        <x:v>Formula calculation</x:v>
      </x:c>
      <x:c r="E11" s="64" t="str">
        <x:v>Covered</x:v>
      </x:c>
      <x:c r="F11" s="64" t="str">
        <x:v>Yes</x:v>
      </x:c>
      <x:c r="G11" s="65" t="str">
        <x:v>Concept-level check; project standards may differ.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26" hidden="0" customWidth="1"/>
    <x:col min="4" max="4" width="28" hidden="0" customWidth="1"/>
    <x:col min="6" max="6" width="38" hidden="0" customWidth="1"/>
  </x:cols>
  <x:sheetData>
    <x:row r="1" ht="19.200000762939453" hidden="0" customHeight="1">
      <x:c r="A1" s="5" t="str">
        <x:v>DC Auxiliary Supply Architecture</x:v>
      </x:c>
    </x:row>
    <x:row r="2" ht="30" customHeight="1">
      <x:c r="A2" s="12" t="str">
        <x:v>Simple functional architecture showing how the battery, charger, DC distribution, and critical loads relate.</x:v>
      </x:c>
    </x:row>
    <x:row r="4">
      <x:c r="A4" s="54" t="str">
        <x:v>Functional block</x:v>
      </x:c>
      <x:c r="B4" s="55" t="str">
        <x:v>Description</x:v>
      </x:c>
      <x:c r="C4" s="55" t="str">
        <x:v>Relevant workbook sheet</x:v>
      </x:c>
      <x:c r="D4" s="56" t="str">
        <x:v>Input/output</x:v>
      </x:c>
      <x:c r="F4" s="134" t="str">
        <x:v>Architecture flow</x:v>
      </x:c>
    </x:row>
    <x:row r="5">
      <x:c r="A5" s="57" t="str">
        <x:v>AC auxiliary supply</x:v>
      </x:c>
      <x:c r="B5" s="59" t="str">
        <x:v>Normal AC supply feeds the battery charger.</x:v>
      </x:c>
      <x:c r="C5" s="59" t="str">
        <x:v>Assumptions</x:v>
      </x:c>
      <x:c r="D5" s="60" t="str">
        <x:v>Input: AC supply availability</x:v>
      </x:c>
      <x:c r="F5" s="137" t="str">
        <x:v>AC Auxiliary Supply</x:v>
      </x:c>
    </x:row>
    <x:row r="6">
      <x:c r="A6" s="57" t="str">
        <x:v>AC/DC battery charger</x:v>
      </x:c>
      <x:c r="B6" s="59" t="str">
        <x:v>Converts AC to regulated DC and recharges the battery bank.</x:v>
      </x:c>
      <x:c r="C6" s="59" t="str">
        <x:v>Charger_Sizing</x:v>
      </x:c>
      <x:c r="D6" s="60" t="str">
        <x:v>Output: charger current and power</x:v>
      </x:c>
      <x:c r="F6" s="140" t="str">
        <x:v>↓</x:v>
      </x:c>
    </x:row>
    <x:row r="7">
      <x:c r="A7" s="57" t="str">
        <x:v>DC battery bank</x:v>
      </x:c>
      <x:c r="B7" s="59" t="str">
        <x:v>Provides backup DC supply during AC loss.</x:v>
      </x:c>
      <x:c r="C7" s="59" t="str">
        <x:v>Battery_Sizing</x:v>
      </x:c>
      <x:c r="D7" s="60" t="str">
        <x:v>Output: required Ah capacity</x:v>
      </x:c>
      <x:c r="F7" s="137" t="str">
        <x:v>AC/DC Battery Charger</x:v>
      </x:c>
    </x:row>
    <x:row r="8">
      <x:c r="A8" s="57" t="str">
        <x:v>DC distribution board</x:v>
      </x:c>
      <x:c r="B8" s="59" t="str">
        <x:v>Distributes DC supply to critical panels and circuits.</x:v>
      </x:c>
      <x:c r="C8" s="59" t="str">
        <x:v>Load_Register</x:v>
      </x:c>
      <x:c r="D8" s="60" t="str">
        <x:v>Receives total critical DC loads</x:v>
      </x:c>
      <x:c r="F8" s="140" t="str">
        <x:v>↓</x:v>
      </x:c>
    </x:row>
    <x:row r="9">
      <x:c r="A9" s="57" t="str">
        <x:v>Protection relay panel</x:v>
      </x:c>
      <x:c r="B9" s="59" t="str">
        <x:v>Continuous DC load for protection and control electronics.</x:v>
      </x:c>
      <x:c r="C9" s="59" t="str">
        <x:v>Protection_AVR_Notes</x:v>
      </x:c>
      <x:c r="D9" s="60" t="str">
        <x:v>Continuous W</x:v>
      </x:c>
      <x:c r="F9" s="137" t="str">
        <x:v>DC Battery Bank</x:v>
      </x:c>
    </x:row>
    <x:row r="10">
      <x:c r="A10" s="57" t="str">
        <x:v>Trip / close circuits</x:v>
      </x:c>
      <x:c r="B10" s="59" t="str">
        <x:v>Intermittent DC loads for breaker operation.</x:v>
      </x:c>
      <x:c r="C10" s="59" t="str">
        <x:v>Protection_AVR_Notes</x:v>
      </x:c>
      <x:c r="D10" s="60" t="str">
        <x:v>Wh based on duration</x:v>
      </x:c>
      <x:c r="F10" s="140" t="str">
        <x:v>↓</x:v>
      </x:c>
    </x:row>
    <x:row r="11">
      <x:c r="A11" s="57" t="str">
        <x:v>SCADA / RTU / communication</x:v>
      </x:c>
      <x:c r="B11" s="59" t="str">
        <x:v>Continuous DC load for monitoring and communication.</x:v>
      </x:c>
      <x:c r="C11" s="59" t="str">
        <x:v>Protection_AVR_Notes</x:v>
      </x:c>
      <x:c r="D11" s="60" t="str">
        <x:v>Continuous W</x:v>
      </x:c>
      <x:c r="F11" s="137" t="str">
        <x:v>DC Distribution Board</x:v>
      </x:c>
    </x:row>
    <x:row r="12">
      <x:c r="A12" s="62" t="str">
        <x:v>AVR / excitation controller auxiliary</x:v>
      </x:c>
      <x:c r="B12" s="64" t="str">
        <x:v>Continuous auxiliary DC load for controller electronics.</x:v>
      </x:c>
      <x:c r="C12" s="64" t="str">
        <x:v>Protection_AVR_Notes</x:v>
      </x:c>
      <x:c r="D12" s="65" t="str">
        <x:v>Continuous W</x:v>
      </x:c>
      <x:c r="F12" s="140" t="str">
        <x:v>↓</x:v>
      </x:c>
    </x:row>
    <x:row r="13">
      <x:c r="F13" s="137" t="str">
        <x:v>Protection / Trip / SCADA / AVR / Emergency Loads</x:v>
      </x:c>
    </x:row>
  </x:sheetData>
  <x:mergeCells>
    <x:mergeCell ref="A1:H1"/>
    <x:mergeCell ref="A2:H2"/>
    <x:mergeCell ref="F4:H4"/>
  </x:mergeCells>
  <x:pageMargins left="0.7" right="0.7" top="0.75" bottom="0.75" header="0.3" footer="0.3"/>
</x:worksheet>
</file>